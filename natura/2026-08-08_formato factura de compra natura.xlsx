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Y:\gd\Mi unidad\facturas de compra\"/>
    </mc:Choice>
  </mc:AlternateContent>
  <xr:revisionPtr revIDLastSave="0" documentId="13_ncr:1_{FF7A9658-CE89-4A34-A3AD-653B4FCA00B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definedNames>
    <definedName name="_xlnm._FilterDatabase" localSheetId="0" hidden="1">Hoja1!$B$2:$L$31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I30" i="1"/>
  <c r="J30" i="1" s="1"/>
  <c r="K30" i="1" s="1"/>
  <c r="L30" i="1" s="1"/>
  <c r="I29" i="1"/>
  <c r="J29" i="1" s="1"/>
  <c r="I28" i="1"/>
  <c r="J28" i="1" s="1"/>
  <c r="K28" i="1" s="1"/>
  <c r="L28" i="1" s="1"/>
  <c r="I27" i="1"/>
  <c r="J27" i="1" s="1"/>
  <c r="K27" i="1" s="1"/>
  <c r="L27" i="1" s="1"/>
  <c r="I26" i="1"/>
  <c r="J26" i="1" s="1"/>
  <c r="K26" i="1" s="1"/>
  <c r="L26" i="1" s="1"/>
  <c r="I25" i="1"/>
  <c r="J24" i="1"/>
  <c r="K24" i="1" s="1"/>
  <c r="L24" i="1" s="1"/>
  <c r="J23" i="1"/>
  <c r="K23" i="1" s="1"/>
  <c r="L23" i="1" s="1"/>
  <c r="J22" i="1"/>
  <c r="K22" i="1" s="1"/>
  <c r="L22" i="1" s="1"/>
  <c r="J21" i="1"/>
  <c r="K21" i="1" s="1"/>
  <c r="L21" i="1" s="1"/>
  <c r="J20" i="1"/>
  <c r="J19" i="1"/>
  <c r="K19" i="1" s="1"/>
  <c r="L19" i="1" s="1"/>
  <c r="J18" i="1"/>
  <c r="K18" i="1" s="1"/>
  <c r="L18" i="1" s="1"/>
  <c r="J17" i="1"/>
  <c r="K17" i="1" s="1"/>
  <c r="L17" i="1" s="1"/>
  <c r="J16" i="1"/>
  <c r="K16" i="1" s="1"/>
  <c r="L16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J9" i="1"/>
  <c r="J8" i="1"/>
  <c r="K8" i="1" s="1"/>
  <c r="L8" i="1" s="1"/>
  <c r="J7" i="1"/>
  <c r="K7" i="1" s="1"/>
  <c r="L7" i="1" s="1"/>
  <c r="J6" i="1"/>
  <c r="K6" i="1" s="1"/>
  <c r="L6" i="1" s="1"/>
  <c r="J5" i="1"/>
  <c r="K5" i="1" s="1"/>
  <c r="L5" i="1" s="1"/>
  <c r="J4" i="1"/>
  <c r="K4" i="1" s="1"/>
  <c r="L4" i="1" s="1"/>
  <c r="J3" i="1"/>
  <c r="K3" i="1" s="1"/>
  <c r="L3" i="1" l="1"/>
  <c r="I31" i="1"/>
  <c r="K9" i="1"/>
  <c r="L9" i="1" s="1"/>
  <c r="J25" i="1"/>
  <c r="K25" i="1" s="1"/>
  <c r="L25" i="1" s="1"/>
  <c r="K20" i="1"/>
  <c r="L20" i="1" s="1"/>
  <c r="K29" i="1"/>
  <c r="L29" i="1" s="1"/>
  <c r="L31" i="1" l="1"/>
  <c r="C34" i="1" s="1"/>
  <c r="K31" i="1"/>
  <c r="J31" i="1"/>
</calcChain>
</file>

<file path=xl/sharedStrings.xml><?xml version="1.0" encoding="utf-8"?>
<sst xmlns="http://schemas.openxmlformats.org/spreadsheetml/2006/main" count="83" uniqueCount="53">
  <si>
    <t>Nombre del producto</t>
  </si>
  <si>
    <t>Código externo</t>
  </si>
  <si>
    <t>Código interno mío</t>
  </si>
  <si>
    <t>Creado</t>
  </si>
  <si>
    <t>Precio consultora unitario</t>
  </si>
  <si>
    <t>Precio consultora antes de descuento</t>
  </si>
  <si>
    <t>decuento</t>
  </si>
  <si>
    <t>Precio consultora despues de descuento</t>
  </si>
  <si>
    <t>Natura Faces New Máscara Fantástica Incolor</t>
  </si>
  <si>
    <t>No</t>
  </si>
  <si>
    <t>Natura Tododia Romã e Flor de Amora 200 ml</t>
  </si>
  <si>
    <t>Perfume Natura Kaiak Sonar Masculino 100 ml</t>
  </si>
  <si>
    <t>Sí</t>
  </si>
  <si>
    <t>Natura Chronos Derma Sérum Multiaclarador 30 ml</t>
  </si>
  <si>
    <t>Natura Solar Protector Solar Facial Stick Incoloro FPS 50 15 g</t>
  </si>
  <si>
    <t>Natura Chronos Protector Solar Facial Multiaclarador FPS 50 Incoloro 50 ml</t>
  </si>
  <si>
    <t>Natura Chronos Protector Solar Facial Multiaclarador FPS 50 Color 2 50 ml</t>
  </si>
  <si>
    <t>Natura Chronos Derma Esencia Multiaclaradora 100 ml</t>
  </si>
  <si>
    <t>Horus CJ Marine</t>
  </si>
  <si>
    <t>Amor y Amistad 2026 Kaiak Sonar F Prof</t>
  </si>
  <si>
    <t>Natura Essencial Mirra Masculino 100 ml</t>
  </si>
  <si>
    <t>Frescor Natura Ekos Cupuaçu 150 ml</t>
  </si>
  <si>
    <t>Natura Chronos Jabón en Polvo Multiaclarador 50 g</t>
  </si>
  <si>
    <t>Promo Natura Kit Rutina de Baño Nutri</t>
  </si>
  <si>
    <t>Frescor Natura Ekos Castaña 150 ml Envase</t>
  </si>
  <si>
    <t>Frescor Natura Ekos Ishpink 150 ml</t>
  </si>
  <si>
    <t>Maxi Promo 170 Puntos Natura</t>
  </si>
  <si>
    <t>Maxi Promo 700 Puntos Natura</t>
  </si>
  <si>
    <t>Maxi Promo 350 Puntos Natura</t>
  </si>
  <si>
    <t>Perfume Natura Kaiak Urbe Masculino 100 ml</t>
  </si>
  <si>
    <t>Promo Kit Natura Ekos Cupuaçu Hidratante Firmeza 200 g + Hidratante Corporal 400 ml</t>
  </si>
  <si>
    <t>Carta G 2017 COL</t>
  </si>
  <si>
    <t>Natura Essencial Exclusivo Femenino EDP Muestra 3 × 1 ml</t>
  </si>
  <si>
    <t>Natura Humor Primeiro EDT Muestra 3 × 1 ml</t>
  </si>
  <si>
    <t>Kit 3 Avon + 3 Natura Ciclo 12</t>
  </si>
  <si>
    <t>Natura Chronos Protector Solar Facial Multiaclarador FPS 50 Color 1 50 ml</t>
  </si>
  <si>
    <t>TOTAL</t>
  </si>
  <si>
    <t>—</t>
  </si>
  <si>
    <t>Los amarilos estan repetidos</t>
  </si>
  <si>
    <t>Los rojos son los que descuentan, aparecen al final de la factura fisica en la franja oscura.</t>
  </si>
  <si>
    <t>Precio promedio unitario</t>
  </si>
  <si>
    <t>Precio promedio total = valor a pagar</t>
  </si>
  <si>
    <t>Cantidad</t>
  </si>
  <si>
    <t>Debes tener en cuenta que el producto puede estar varias veces en la factura, por lo que se deben aumentar los invetario con todas esas cantidades de cada linea.</t>
  </si>
  <si>
    <t>https://drive.google.com/drive/folders/146RsHB6jS5wl9vJmjtJZGBskOgb7LY7d?usp=sharing</t>
  </si>
  <si>
    <t>Por acada factura que se te pase debes generar un Excel como este y guardarlo en la carpeta:</t>
  </si>
  <si>
    <t>Al archivo le colocas como nombre la fecha de la compra que tiene el documento y el numero de factura ejemplo: 2026-08-08_M13121536</t>
  </si>
  <si>
    <t>https://docs.google.com/spreadsheets/d/1sd73M4uArZpLXhT_dS235zOHqf9mKYWM/edit?usp=sharing&amp;ouid=118189534953331088316&amp;rtpof=true&amp;sd=true</t>
  </si>
  <si>
    <t>Debes hacer una copia de este archivo, borrar los datos que este tiene y pegar los datos de la nueva factura en el. El enelace de este Excel es:</t>
  </si>
  <si>
    <t>Total factura fisica:</t>
  </si>
  <si>
    <t>El total de Precio promedio total = valor a pagar de esta tabla, debe cuadrar al final con la etiqueta Total factura de la factura fisica, se acepta una diferencia de 100 por redondeos.</t>
  </si>
  <si>
    <t>Diferencia</t>
  </si>
  <si>
    <t>Las cantidades que van al inventario son las de la columna cantidad y el costo unitario para mi que se debe llevar a la etiqueta costo de los inventarios de belleza son los de la columna Precio promedio unitario.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</si>
</sst>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_)_ ;_ * \(#,##0\)_ ;_ * &quot;-&quot;??_)_ ;_ @_ "/>
    <numFmt numFmtId="166" formatCode="_(* #,##0_);_(* \(#,##0\);_(* &quot;-&quot;??_);_(@_)"/>
  </numFmts>
  <fonts count="12"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1"/>
      <color rgb="FFFF0000"/>
      <name val="Calibri"/>
    </font>
    <font>
      <b/>
      <sz val="11"/>
      <color theme="1"/>
      <name val="Calibri"/>
    </font>
    <font>
      <b/>
      <sz val="11"/>
      <name val="Calibri"/>
    </font>
    <font>
      <b/>
      <sz val="11"/>
      <color rgb="FFFF0000"/>
      <name val="Calibri"/>
      <family val="2"/>
    </font>
    <font>
      <u/>
      <sz val="11"/>
      <color theme="10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theme="7" tint="0.79995117038483843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right" vertical="center" wrapText="1"/>
    </xf>
    <xf numFmtId="165" fontId="6" fillId="3" borderId="1" xfId="1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165" fontId="7" fillId="0" borderId="1" xfId="1" applyNumberFormat="1" applyFont="1" applyBorder="1" applyAlignment="1">
      <alignment vertical="center" wrapText="1"/>
    </xf>
    <xf numFmtId="165" fontId="7" fillId="0" borderId="1" xfId="1" applyNumberFormat="1" applyFont="1" applyBorder="1" applyAlignment="1">
      <alignment horizontal="right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8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9" fillId="0" borderId="0" xfId="2"/>
    <xf numFmtId="0" fontId="2" fillId="0" borderId="0" xfId="0" applyFont="1"/>
    <xf numFmtId="0" fontId="10" fillId="0" borderId="0" xfId="0" applyFont="1" applyAlignment="1">
      <alignment vertical="center" wrapText="1"/>
    </xf>
    <xf numFmtId="166" fontId="10" fillId="0" borderId="0" xfId="1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166" fontId="11" fillId="0" borderId="0" xfId="1" applyNumberFormat="1" applyFont="1"/>
    <xf numFmtId="0" fontId="1" fillId="0" borderId="0" xfId="0" applyFont="1"/>
  </cellXfs>
  <cellStyles count="3">
    <cellStyle name="Hipervínculo" xfId="2" builtinId="8"/>
    <cellStyle name="Millares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d73M4uArZpLXhT_dS235zOHqf9mKYWM/edit?usp=sharing&amp;ouid=118189534953331088316&amp;rtpof=true&amp;sd=true" TargetMode="External"/><Relationship Id="rId1" Type="http://schemas.openxmlformats.org/officeDocument/2006/relationships/hyperlink" Target="https://drive.google.com/drive/folders/146RsHB6jS5wl9vJmjtJZGBskOgb7LY7d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M45"/>
  <sheetViews>
    <sheetView tabSelected="1" topLeftCell="C1" zoomScaleNormal="100" workbookViewId="0">
      <pane ySplit="2" topLeftCell="A30" activePane="bottomLeft" state="frozen"/>
      <selection pane="bottomLeft" activeCell="L30" sqref="L30"/>
    </sheetView>
  </sheetViews>
  <sheetFormatPr baseColWidth="10" defaultRowHeight="14.4"/>
  <cols>
    <col min="1" max="1" width="3.88671875" customWidth="1"/>
    <col min="2" max="2" width="85.5546875" bestFit="1" customWidth="1"/>
    <col min="3" max="3" width="12.44140625" bestFit="1" customWidth="1"/>
    <col min="4" max="4" width="15.21875" bestFit="1" customWidth="1"/>
    <col min="5" max="5" width="11.44140625" bestFit="1" customWidth="1"/>
    <col min="6" max="6" width="9.88671875" bestFit="1" customWidth="1"/>
    <col min="7" max="8" width="14.33203125" bestFit="1" customWidth="1"/>
    <col min="9" max="9" width="13.44140625" bestFit="1" customWidth="1"/>
    <col min="10" max="10" width="14.88671875" bestFit="1" customWidth="1"/>
    <col min="11" max="11" width="13.6640625" bestFit="1" customWidth="1"/>
    <col min="12" max="12" width="13.6640625" customWidth="1"/>
  </cols>
  <sheetData>
    <row r="2" spans="2:13" ht="57.6">
      <c r="B2" s="17" t="s">
        <v>0</v>
      </c>
      <c r="C2" s="17" t="s">
        <v>1</v>
      </c>
      <c r="D2" s="17" t="s">
        <v>2</v>
      </c>
      <c r="E2" s="17" t="s">
        <v>3</v>
      </c>
      <c r="F2" s="19" t="s">
        <v>42</v>
      </c>
      <c r="G2" s="17" t="s">
        <v>4</v>
      </c>
      <c r="H2" s="17" t="s">
        <v>5</v>
      </c>
      <c r="I2" s="17" t="s">
        <v>6</v>
      </c>
      <c r="J2" s="17" t="s">
        <v>7</v>
      </c>
      <c r="K2" s="19" t="s">
        <v>40</v>
      </c>
      <c r="L2" s="17" t="s">
        <v>41</v>
      </c>
    </row>
    <row r="3" spans="2:13">
      <c r="B3" s="1" t="s">
        <v>8</v>
      </c>
      <c r="C3" s="2">
        <v>67647</v>
      </c>
      <c r="D3" s="2">
        <v>568</v>
      </c>
      <c r="E3" s="3" t="s">
        <v>9</v>
      </c>
      <c r="F3" s="2">
        <v>1</v>
      </c>
      <c r="G3" s="4">
        <v>10320</v>
      </c>
      <c r="H3" s="4">
        <v>10320</v>
      </c>
      <c r="I3" s="4"/>
      <c r="J3" s="5">
        <f>H3-I3</f>
        <v>10320</v>
      </c>
      <c r="K3" s="5">
        <f t="shared" ref="K3:K30" si="0">IFERROR(SUMIF($D$3:$D$30,D3,$J$3:$J$30)/SUMIF($D$3:$D$30,D3,$F$3:$F$30),0)</f>
        <v>10320</v>
      </c>
      <c r="L3" s="5">
        <f>K3*F3</f>
        <v>10320</v>
      </c>
    </row>
    <row r="4" spans="2:13">
      <c r="B4" s="1" t="s">
        <v>10</v>
      </c>
      <c r="C4" s="2">
        <v>135050</v>
      </c>
      <c r="D4" s="2">
        <v>569</v>
      </c>
      <c r="E4" s="3" t="s">
        <v>9</v>
      </c>
      <c r="F4" s="2">
        <v>6</v>
      </c>
      <c r="G4" s="4">
        <v>23040</v>
      </c>
      <c r="H4" s="4">
        <v>138240</v>
      </c>
      <c r="I4" s="4"/>
      <c r="J4" s="5">
        <f t="shared" ref="J4:J30" si="1">H4-I4</f>
        <v>138240</v>
      </c>
      <c r="K4" s="5">
        <f t="shared" si="0"/>
        <v>23040</v>
      </c>
      <c r="L4" s="5">
        <f t="shared" ref="L4:L30" si="2">K4*F4</f>
        <v>138240</v>
      </c>
      <c r="M4" s="18"/>
    </row>
    <row r="5" spans="2:13">
      <c r="B5" s="1" t="s">
        <v>11</v>
      </c>
      <c r="C5" s="2">
        <v>156226</v>
      </c>
      <c r="D5" s="2">
        <v>57</v>
      </c>
      <c r="E5" s="3" t="s">
        <v>12</v>
      </c>
      <c r="F5" s="2">
        <v>1</v>
      </c>
      <c r="G5" s="4">
        <v>59940</v>
      </c>
      <c r="H5" s="4">
        <v>59940</v>
      </c>
      <c r="I5" s="4"/>
      <c r="J5" s="5">
        <f t="shared" si="1"/>
        <v>59940</v>
      </c>
      <c r="K5" s="5">
        <f t="shared" si="0"/>
        <v>59940</v>
      </c>
      <c r="L5" s="5">
        <f t="shared" si="2"/>
        <v>59940</v>
      </c>
    </row>
    <row r="6" spans="2:13">
      <c r="B6" s="1" t="s">
        <v>13</v>
      </c>
      <c r="C6" s="2">
        <v>169222</v>
      </c>
      <c r="D6" s="2">
        <v>570</v>
      </c>
      <c r="E6" s="3" t="s">
        <v>9</v>
      </c>
      <c r="F6" s="2">
        <v>2</v>
      </c>
      <c r="G6" s="4">
        <v>76293</v>
      </c>
      <c r="H6" s="4">
        <v>152586</v>
      </c>
      <c r="I6" s="4"/>
      <c r="J6" s="5">
        <f t="shared" si="1"/>
        <v>152586</v>
      </c>
      <c r="K6" s="5">
        <f t="shared" si="0"/>
        <v>76293</v>
      </c>
      <c r="L6" s="5">
        <f t="shared" si="2"/>
        <v>152586</v>
      </c>
    </row>
    <row r="7" spans="2:13">
      <c r="B7" s="1" t="s">
        <v>14</v>
      </c>
      <c r="C7" s="2">
        <v>178858</v>
      </c>
      <c r="D7" s="2">
        <v>189</v>
      </c>
      <c r="E7" s="3" t="s">
        <v>12</v>
      </c>
      <c r="F7" s="2">
        <v>2</v>
      </c>
      <c r="G7" s="4">
        <v>43155</v>
      </c>
      <c r="H7" s="4">
        <v>86310</v>
      </c>
      <c r="I7" s="4"/>
      <c r="J7" s="5">
        <f t="shared" si="1"/>
        <v>86310</v>
      </c>
      <c r="K7" s="5">
        <f t="shared" si="0"/>
        <v>43155</v>
      </c>
      <c r="L7" s="5">
        <f t="shared" si="2"/>
        <v>86310</v>
      </c>
    </row>
    <row r="8" spans="2:13">
      <c r="B8" s="1" t="s">
        <v>15</v>
      </c>
      <c r="C8" s="2">
        <v>183274</v>
      </c>
      <c r="D8" s="2">
        <v>571</v>
      </c>
      <c r="E8" s="3" t="s">
        <v>9</v>
      </c>
      <c r="F8" s="2">
        <v>4</v>
      </c>
      <c r="G8" s="4">
        <v>59220</v>
      </c>
      <c r="H8" s="4">
        <v>236880</v>
      </c>
      <c r="I8" s="4"/>
      <c r="J8" s="5">
        <f t="shared" si="1"/>
        <v>236880</v>
      </c>
      <c r="K8" s="5">
        <f t="shared" si="0"/>
        <v>59220</v>
      </c>
      <c r="L8" s="5">
        <f t="shared" si="2"/>
        <v>236880</v>
      </c>
    </row>
    <row r="9" spans="2:13">
      <c r="B9" s="1" t="s">
        <v>16</v>
      </c>
      <c r="C9" s="2">
        <v>183275</v>
      </c>
      <c r="D9" s="6">
        <v>438</v>
      </c>
      <c r="E9" s="3" t="s">
        <v>12</v>
      </c>
      <c r="F9" s="2">
        <v>1</v>
      </c>
      <c r="G9" s="4">
        <v>59220</v>
      </c>
      <c r="H9" s="4">
        <v>59220</v>
      </c>
      <c r="I9" s="4"/>
      <c r="J9" s="5">
        <f t="shared" si="1"/>
        <v>59220</v>
      </c>
      <c r="K9" s="5">
        <f t="shared" si="0"/>
        <v>35973</v>
      </c>
      <c r="L9" s="5">
        <f t="shared" si="2"/>
        <v>35973</v>
      </c>
    </row>
    <row r="10" spans="2:13">
      <c r="B10" s="1" t="s">
        <v>17</v>
      </c>
      <c r="C10" s="2">
        <v>187709</v>
      </c>
      <c r="D10" s="2">
        <v>572</v>
      </c>
      <c r="E10" s="3" t="s">
        <v>9</v>
      </c>
      <c r="F10" s="2">
        <v>1</v>
      </c>
      <c r="G10" s="4">
        <v>58401</v>
      </c>
      <c r="H10" s="4">
        <v>58401</v>
      </c>
      <c r="I10" s="4"/>
      <c r="J10" s="5">
        <f t="shared" si="1"/>
        <v>58401</v>
      </c>
      <c r="K10" s="5">
        <f t="shared" si="0"/>
        <v>58401</v>
      </c>
      <c r="L10" s="5">
        <f t="shared" si="2"/>
        <v>58401</v>
      </c>
    </row>
    <row r="11" spans="2:13">
      <c r="B11" s="1" t="s">
        <v>18</v>
      </c>
      <c r="C11" s="2">
        <v>241243</v>
      </c>
      <c r="D11" s="2">
        <v>573</v>
      </c>
      <c r="E11" s="3" t="s">
        <v>9</v>
      </c>
      <c r="F11" s="2">
        <v>3</v>
      </c>
      <c r="G11" s="4">
        <v>40888</v>
      </c>
      <c r="H11" s="4">
        <v>122664</v>
      </c>
      <c r="I11" s="4"/>
      <c r="J11" s="5">
        <f t="shared" si="1"/>
        <v>122664</v>
      </c>
      <c r="K11" s="5">
        <f t="shared" si="0"/>
        <v>40888</v>
      </c>
      <c r="L11" s="5">
        <f t="shared" si="2"/>
        <v>122664</v>
      </c>
    </row>
    <row r="12" spans="2:13">
      <c r="B12" s="1" t="s">
        <v>19</v>
      </c>
      <c r="C12" s="2">
        <v>242273</v>
      </c>
      <c r="D12" s="2">
        <v>574</v>
      </c>
      <c r="E12" s="3" t="s">
        <v>9</v>
      </c>
      <c r="F12" s="2">
        <v>1</v>
      </c>
      <c r="G12" s="4">
        <v>51850</v>
      </c>
      <c r="H12" s="4">
        <v>51850</v>
      </c>
      <c r="I12" s="4"/>
      <c r="J12" s="5">
        <f t="shared" si="1"/>
        <v>51850</v>
      </c>
      <c r="K12" s="5">
        <f t="shared" si="0"/>
        <v>51850</v>
      </c>
      <c r="L12" s="5">
        <f t="shared" si="2"/>
        <v>51850</v>
      </c>
    </row>
    <row r="13" spans="2:13">
      <c r="B13" s="1" t="s">
        <v>20</v>
      </c>
      <c r="C13" s="2">
        <v>260116</v>
      </c>
      <c r="D13" s="2">
        <v>575</v>
      </c>
      <c r="E13" s="3" t="s">
        <v>9</v>
      </c>
      <c r="F13" s="2">
        <v>2</v>
      </c>
      <c r="G13" s="4">
        <v>75535</v>
      </c>
      <c r="H13" s="4">
        <v>151070</v>
      </c>
      <c r="I13" s="4"/>
      <c r="J13" s="5">
        <f t="shared" si="1"/>
        <v>151070</v>
      </c>
      <c r="K13" s="5">
        <f t="shared" si="0"/>
        <v>75535</v>
      </c>
      <c r="L13" s="5">
        <f t="shared" si="2"/>
        <v>151070</v>
      </c>
    </row>
    <row r="14" spans="2:13">
      <c r="B14" s="1" t="s">
        <v>21</v>
      </c>
      <c r="C14" s="2">
        <v>260125</v>
      </c>
      <c r="D14" s="2">
        <v>576</v>
      </c>
      <c r="E14" s="3" t="s">
        <v>9</v>
      </c>
      <c r="F14" s="2">
        <v>2</v>
      </c>
      <c r="G14" s="4">
        <v>29820</v>
      </c>
      <c r="H14" s="4">
        <v>59640</v>
      </c>
      <c r="I14" s="4"/>
      <c r="J14" s="5">
        <f t="shared" si="1"/>
        <v>59640</v>
      </c>
      <c r="K14" s="5">
        <f t="shared" si="0"/>
        <v>29820</v>
      </c>
      <c r="L14" s="5">
        <f t="shared" si="2"/>
        <v>59640</v>
      </c>
    </row>
    <row r="15" spans="2:13">
      <c r="B15" s="1" t="s">
        <v>22</v>
      </c>
      <c r="C15" s="2">
        <v>260131</v>
      </c>
      <c r="D15" s="2">
        <v>577</v>
      </c>
      <c r="E15" s="3" t="s">
        <v>9</v>
      </c>
      <c r="F15" s="2">
        <v>3</v>
      </c>
      <c r="G15" s="4">
        <v>24507</v>
      </c>
      <c r="H15" s="4">
        <v>73521</v>
      </c>
      <c r="I15" s="4"/>
      <c r="J15" s="5">
        <f t="shared" si="1"/>
        <v>73521</v>
      </c>
      <c r="K15" s="5">
        <f t="shared" si="0"/>
        <v>24507</v>
      </c>
      <c r="L15" s="5">
        <f t="shared" si="2"/>
        <v>73521</v>
      </c>
    </row>
    <row r="16" spans="2:13">
      <c r="B16" s="1" t="s">
        <v>23</v>
      </c>
      <c r="C16" s="2">
        <v>260143</v>
      </c>
      <c r="D16" s="2">
        <v>578</v>
      </c>
      <c r="E16" s="3" t="s">
        <v>9</v>
      </c>
      <c r="F16" s="2">
        <v>1</v>
      </c>
      <c r="G16" s="4">
        <v>54872</v>
      </c>
      <c r="H16" s="4">
        <v>54872</v>
      </c>
      <c r="I16" s="4"/>
      <c r="J16" s="5">
        <f t="shared" si="1"/>
        <v>54872</v>
      </c>
      <c r="K16" s="5">
        <f t="shared" si="0"/>
        <v>54872</v>
      </c>
      <c r="L16" s="5">
        <f t="shared" si="2"/>
        <v>54872</v>
      </c>
    </row>
    <row r="17" spans="2:12">
      <c r="B17" s="1" t="s">
        <v>24</v>
      </c>
      <c r="C17" s="2">
        <v>260144</v>
      </c>
      <c r="D17" s="2">
        <v>219</v>
      </c>
      <c r="E17" s="3" t="s">
        <v>12</v>
      </c>
      <c r="F17" s="2">
        <v>2</v>
      </c>
      <c r="G17" s="4">
        <v>29820</v>
      </c>
      <c r="H17" s="4">
        <v>59640</v>
      </c>
      <c r="I17" s="4"/>
      <c r="J17" s="5">
        <f t="shared" si="1"/>
        <v>59640</v>
      </c>
      <c r="K17" s="5">
        <f t="shared" si="0"/>
        <v>29820</v>
      </c>
      <c r="L17" s="5">
        <f t="shared" si="2"/>
        <v>59640</v>
      </c>
    </row>
    <row r="18" spans="2:12">
      <c r="B18" s="1" t="s">
        <v>25</v>
      </c>
      <c r="C18" s="2">
        <v>260155</v>
      </c>
      <c r="D18" s="2">
        <v>218</v>
      </c>
      <c r="E18" s="3" t="s">
        <v>12</v>
      </c>
      <c r="F18" s="2">
        <v>1</v>
      </c>
      <c r="G18" s="4">
        <v>29820</v>
      </c>
      <c r="H18" s="4">
        <v>29820</v>
      </c>
      <c r="I18" s="4"/>
      <c r="J18" s="5">
        <f t="shared" si="1"/>
        <v>29820</v>
      </c>
      <c r="K18" s="5">
        <f t="shared" si="0"/>
        <v>29820</v>
      </c>
      <c r="L18" s="5">
        <f t="shared" si="2"/>
        <v>29820</v>
      </c>
    </row>
    <row r="19" spans="2:12">
      <c r="B19" s="1" t="s">
        <v>26</v>
      </c>
      <c r="C19" s="2">
        <v>262339</v>
      </c>
      <c r="D19" s="2">
        <v>579</v>
      </c>
      <c r="E19" s="3" t="s">
        <v>9</v>
      </c>
      <c r="F19" s="2">
        <v>1</v>
      </c>
      <c r="G19" s="4">
        <v>33300</v>
      </c>
      <c r="H19" s="4">
        <v>33300</v>
      </c>
      <c r="I19" s="4"/>
      <c r="J19" s="5">
        <f t="shared" si="1"/>
        <v>33300</v>
      </c>
      <c r="K19" s="5">
        <f t="shared" si="0"/>
        <v>33300</v>
      </c>
      <c r="L19" s="5">
        <f t="shared" si="2"/>
        <v>33300</v>
      </c>
    </row>
    <row r="20" spans="2:12">
      <c r="B20" s="1" t="s">
        <v>16</v>
      </c>
      <c r="C20" s="2">
        <v>262350</v>
      </c>
      <c r="D20" s="6">
        <v>438</v>
      </c>
      <c r="E20" s="3" t="s">
        <v>12</v>
      </c>
      <c r="F20" s="2">
        <v>2</v>
      </c>
      <c r="G20" s="4">
        <v>42336</v>
      </c>
      <c r="H20" s="4">
        <v>84672</v>
      </c>
      <c r="I20" s="4"/>
      <c r="J20" s="5">
        <f t="shared" si="1"/>
        <v>84672</v>
      </c>
      <c r="K20" s="5">
        <f t="shared" si="0"/>
        <v>35973</v>
      </c>
      <c r="L20" s="5">
        <f t="shared" si="2"/>
        <v>71946</v>
      </c>
    </row>
    <row r="21" spans="2:12">
      <c r="B21" s="1" t="s">
        <v>27</v>
      </c>
      <c r="C21" s="2">
        <v>262380</v>
      </c>
      <c r="D21" s="2">
        <v>580</v>
      </c>
      <c r="E21" s="3" t="s">
        <v>9</v>
      </c>
      <c r="F21" s="2">
        <v>1</v>
      </c>
      <c r="G21" s="4">
        <v>175800</v>
      </c>
      <c r="H21" s="4">
        <v>175800</v>
      </c>
      <c r="I21" s="4"/>
      <c r="J21" s="5">
        <f t="shared" si="1"/>
        <v>175800</v>
      </c>
      <c r="K21" s="5">
        <f t="shared" si="0"/>
        <v>175800</v>
      </c>
      <c r="L21" s="5">
        <f t="shared" si="2"/>
        <v>175800</v>
      </c>
    </row>
    <row r="22" spans="2:12">
      <c r="B22" s="1" t="s">
        <v>28</v>
      </c>
      <c r="C22" s="2">
        <v>262390</v>
      </c>
      <c r="D22" s="2">
        <v>581</v>
      </c>
      <c r="E22" s="3" t="s">
        <v>9</v>
      </c>
      <c r="F22" s="2">
        <v>1</v>
      </c>
      <c r="G22" s="4">
        <v>97301</v>
      </c>
      <c r="H22" s="4">
        <v>97301</v>
      </c>
      <c r="I22" s="4"/>
      <c r="J22" s="5">
        <f t="shared" si="1"/>
        <v>97301</v>
      </c>
      <c r="K22" s="5">
        <f t="shared" si="0"/>
        <v>97301</v>
      </c>
      <c r="L22" s="5">
        <f t="shared" si="2"/>
        <v>97301</v>
      </c>
    </row>
    <row r="23" spans="2:12">
      <c r="B23" s="1" t="s">
        <v>29</v>
      </c>
      <c r="C23" s="2">
        <v>262411</v>
      </c>
      <c r="D23" s="2">
        <v>58</v>
      </c>
      <c r="E23" s="3" t="s">
        <v>12</v>
      </c>
      <c r="F23" s="2">
        <v>1</v>
      </c>
      <c r="G23" s="4">
        <v>30700</v>
      </c>
      <c r="H23" s="4">
        <v>30700</v>
      </c>
      <c r="I23" s="4"/>
      <c r="J23" s="5">
        <f t="shared" si="1"/>
        <v>30700</v>
      </c>
      <c r="K23" s="5">
        <f t="shared" si="0"/>
        <v>30700</v>
      </c>
      <c r="L23" s="5">
        <f t="shared" si="2"/>
        <v>30700</v>
      </c>
    </row>
    <row r="24" spans="2:12">
      <c r="B24" s="1" t="s">
        <v>30</v>
      </c>
      <c r="C24" s="2">
        <v>269690</v>
      </c>
      <c r="D24" s="2">
        <v>582</v>
      </c>
      <c r="E24" s="3" t="s">
        <v>9</v>
      </c>
      <c r="F24" s="2">
        <v>1</v>
      </c>
      <c r="G24" s="4">
        <v>68482</v>
      </c>
      <c r="H24" s="4">
        <v>68482</v>
      </c>
      <c r="I24" s="4"/>
      <c r="J24" s="5">
        <f t="shared" si="1"/>
        <v>68482</v>
      </c>
      <c r="K24" s="5">
        <f t="shared" si="0"/>
        <v>68482</v>
      </c>
      <c r="L24" s="5">
        <f t="shared" si="2"/>
        <v>68482</v>
      </c>
    </row>
    <row r="25" spans="2:12">
      <c r="B25" s="7" t="s">
        <v>31</v>
      </c>
      <c r="C25" s="8">
        <v>83544</v>
      </c>
      <c r="D25" s="8">
        <v>583</v>
      </c>
      <c r="E25" s="9" t="s">
        <v>9</v>
      </c>
      <c r="F25" s="8">
        <v>1</v>
      </c>
      <c r="G25" s="10">
        <v>1</v>
      </c>
      <c r="H25" s="10">
        <v>1</v>
      </c>
      <c r="I25" s="11">
        <f t="shared" ref="I25:I29" si="3">H25</f>
        <v>1</v>
      </c>
      <c r="J25" s="5">
        <f t="shared" si="1"/>
        <v>0</v>
      </c>
      <c r="K25" s="5">
        <f t="shared" si="0"/>
        <v>0</v>
      </c>
      <c r="L25" s="5">
        <f t="shared" si="2"/>
        <v>0</v>
      </c>
    </row>
    <row r="26" spans="2:12">
      <c r="B26" s="7" t="s">
        <v>32</v>
      </c>
      <c r="C26" s="8">
        <v>93633</v>
      </c>
      <c r="D26" s="8">
        <v>584</v>
      </c>
      <c r="E26" s="9" t="s">
        <v>9</v>
      </c>
      <c r="F26" s="8">
        <v>1</v>
      </c>
      <c r="G26" s="10">
        <v>2000</v>
      </c>
      <c r="H26" s="10">
        <v>2000</v>
      </c>
      <c r="I26" s="11">
        <f t="shared" si="3"/>
        <v>2000</v>
      </c>
      <c r="J26" s="5">
        <f t="shared" si="1"/>
        <v>0</v>
      </c>
      <c r="K26" s="5">
        <f t="shared" si="0"/>
        <v>0</v>
      </c>
      <c r="L26" s="5">
        <f t="shared" si="2"/>
        <v>0</v>
      </c>
    </row>
    <row r="27" spans="2:12">
      <c r="B27" s="7" t="s">
        <v>33</v>
      </c>
      <c r="C27" s="8">
        <v>203336</v>
      </c>
      <c r="D27" s="8">
        <v>585</v>
      </c>
      <c r="E27" s="9" t="s">
        <v>9</v>
      </c>
      <c r="F27" s="8">
        <v>1</v>
      </c>
      <c r="G27" s="10">
        <v>840</v>
      </c>
      <c r="H27" s="10">
        <v>840</v>
      </c>
      <c r="I27" s="11">
        <f t="shared" si="3"/>
        <v>840</v>
      </c>
      <c r="J27" s="5">
        <f t="shared" si="1"/>
        <v>0</v>
      </c>
      <c r="K27" s="5">
        <f t="shared" si="0"/>
        <v>0</v>
      </c>
      <c r="L27" s="5">
        <f t="shared" si="2"/>
        <v>0</v>
      </c>
    </row>
    <row r="28" spans="2:12">
      <c r="B28" s="7" t="s">
        <v>34</v>
      </c>
      <c r="C28" s="8">
        <v>7393</v>
      </c>
      <c r="D28" s="8">
        <v>586</v>
      </c>
      <c r="E28" s="9" t="s">
        <v>9</v>
      </c>
      <c r="F28" s="8">
        <v>1</v>
      </c>
      <c r="G28" s="10">
        <v>19800</v>
      </c>
      <c r="H28" s="10">
        <v>19800</v>
      </c>
      <c r="I28" s="11">
        <f t="shared" si="3"/>
        <v>19800</v>
      </c>
      <c r="J28" s="5">
        <f t="shared" si="1"/>
        <v>0</v>
      </c>
      <c r="K28" s="5">
        <f t="shared" si="0"/>
        <v>0</v>
      </c>
      <c r="L28" s="5">
        <f t="shared" si="2"/>
        <v>0</v>
      </c>
    </row>
    <row r="29" spans="2:12">
      <c r="B29" s="7" t="s">
        <v>16</v>
      </c>
      <c r="C29" s="8">
        <v>262350</v>
      </c>
      <c r="D29" s="12">
        <v>438</v>
      </c>
      <c r="E29" s="9" t="s">
        <v>12</v>
      </c>
      <c r="F29" s="8">
        <v>1</v>
      </c>
      <c r="G29" s="10">
        <v>94080</v>
      </c>
      <c r="H29" s="10">
        <v>94080</v>
      </c>
      <c r="I29" s="11">
        <f t="shared" si="3"/>
        <v>94080</v>
      </c>
      <c r="J29" s="5">
        <f t="shared" si="1"/>
        <v>0</v>
      </c>
      <c r="K29" s="5">
        <f t="shared" si="0"/>
        <v>35973</v>
      </c>
      <c r="L29" s="5">
        <f t="shared" si="2"/>
        <v>35973</v>
      </c>
    </row>
    <row r="30" spans="2:12">
      <c r="B30" s="7" t="s">
        <v>35</v>
      </c>
      <c r="C30" s="8">
        <v>262351</v>
      </c>
      <c r="D30" s="8">
        <v>187</v>
      </c>
      <c r="E30" s="9" t="s">
        <v>12</v>
      </c>
      <c r="F30" s="8">
        <v>1</v>
      </c>
      <c r="G30" s="10">
        <v>94080</v>
      </c>
      <c r="H30" s="10">
        <v>94080</v>
      </c>
      <c r="I30" s="11">
        <f>H30</f>
        <v>94080</v>
      </c>
      <c r="J30" s="5">
        <f t="shared" si="1"/>
        <v>0</v>
      </c>
      <c r="K30" s="5">
        <f t="shared" si="0"/>
        <v>0</v>
      </c>
      <c r="L30" s="5">
        <f t="shared" si="2"/>
        <v>0</v>
      </c>
    </row>
    <row r="31" spans="2:12">
      <c r="B31" s="13" t="s">
        <v>36</v>
      </c>
      <c r="C31" s="14" t="s">
        <v>37</v>
      </c>
      <c r="D31" s="14" t="s">
        <v>37</v>
      </c>
      <c r="E31" s="15" t="s">
        <v>37</v>
      </c>
      <c r="F31" s="16">
        <f>SUM(F3:F30)</f>
        <v>46</v>
      </c>
      <c r="G31" s="16">
        <f t="shared" ref="G31:L31" si="4">SUM(G3:G30)</f>
        <v>1385421</v>
      </c>
      <c r="H31" s="16">
        <f t="shared" si="4"/>
        <v>2106030</v>
      </c>
      <c r="I31" s="16">
        <f t="shared" si="4"/>
        <v>210801</v>
      </c>
      <c r="J31" s="16">
        <f t="shared" si="4"/>
        <v>1895229</v>
      </c>
      <c r="K31" s="16">
        <f t="shared" si="4"/>
        <v>1180983</v>
      </c>
      <c r="L31" s="16">
        <f t="shared" si="4"/>
        <v>1895229</v>
      </c>
    </row>
    <row r="33" spans="2:3">
      <c r="B33" s="23" t="s">
        <v>49</v>
      </c>
      <c r="C33" s="24">
        <v>1895229</v>
      </c>
    </row>
    <row r="34" spans="2:3">
      <c r="B34" s="25" t="s">
        <v>51</v>
      </c>
      <c r="C34" s="26">
        <f>C33-L31</f>
        <v>0</v>
      </c>
    </row>
    <row r="36" spans="2:3">
      <c r="B36" t="s">
        <v>38</v>
      </c>
    </row>
    <row r="37" spans="2:3">
      <c r="B37" t="s">
        <v>39</v>
      </c>
    </row>
    <row r="38" spans="2:3">
      <c r="B38" s="27" t="s">
        <v>52</v>
      </c>
    </row>
    <row r="39" spans="2:3">
      <c r="B39" s="20" t="s">
        <v>43</v>
      </c>
    </row>
    <row r="40" spans="2:3">
      <c r="B40" s="27" t="s">
        <v>50</v>
      </c>
    </row>
    <row r="41" spans="2:3">
      <c r="B41" s="22" t="s">
        <v>45</v>
      </c>
    </row>
    <row r="42" spans="2:3">
      <c r="B42" s="21" t="s">
        <v>44</v>
      </c>
    </row>
    <row r="43" spans="2:3">
      <c r="B43" s="22" t="s">
        <v>46</v>
      </c>
    </row>
    <row r="44" spans="2:3">
      <c r="B44" s="22" t="s">
        <v>48</v>
      </c>
    </row>
    <row r="45" spans="2:3">
      <c r="B45" s="21" t="s">
        <v>47</v>
      </c>
    </row>
  </sheetData>
  <autoFilter ref="B2:L31" xr:uid="{00000000-0001-0000-0000-000000000000}"/>
  <hyperlinks>
    <hyperlink ref="B42" r:id="rId1" xr:uid="{8B4EED42-BFB5-49B2-8FCC-5E95704568D4}"/>
    <hyperlink ref="B45" r:id="rId2" xr:uid="{6D36803E-DD82-475F-B5E0-864D9AC0CF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Llerena Parra</cp:lastModifiedBy>
  <dcterms:modified xsi:type="dcterms:W3CDTF">2026-08-08T21:18:17Z</dcterms:modified>
</cp:coreProperties>
</file>